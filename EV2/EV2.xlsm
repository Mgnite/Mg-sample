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imi\git\Mg\build\ws\example\EV2\"/>
    </mc:Choice>
  </mc:AlternateContent>
  <xr:revisionPtr revIDLastSave="0" documentId="13_ncr:1_{967D82C6-E3C2-448B-ACE1-1A10D7E568CC}" xr6:coauthVersionLast="47" xr6:coauthVersionMax="47" xr10:uidLastSave="{00000000-0000-0000-0000-000000000000}"/>
  <bookViews>
    <workbookView xWindow="1170" yWindow="1170" windowWidth="43200" windowHeight="23445" xr2:uid="{29DECD5C-E036-4AF9-9D56-A27CBBB3E135}"/>
  </bookViews>
  <sheets>
    <sheet name="Analysis" sheetId="2" r:id="rId1"/>
    <sheet name="SimBlocks" sheetId="6" r:id="rId2"/>
    <sheet name="HParts" sheetId="7" r:id="rId3"/>
    <sheet name="Sheet1" sheetId="8" r:id="rId4"/>
  </sheets>
  <functionGroups builtInGroupCount="19"/>
  <definedNames>
    <definedName name="MgXH_Compact_SSRInputs">Sheet1!$J$29:$J$31</definedName>
    <definedName name="MgXH_HParts">HParts!$D$5:B$8</definedName>
    <definedName name="MgXH_SSROutput">Sheet1!$J$9:$K$11</definedName>
    <definedName name="MgXV_Compact_SSROutputs">Sheet1!$E$29:$G$35</definedName>
    <definedName name="MgXV_EVAnalysis">Analysis!$C$6:$G$14</definedName>
    <definedName name="MgXV_EVParts">SimBlocks!$D$7:$G$17</definedName>
    <definedName name="MgXV_SSRInputs">Sheet1!$E$13:$G$16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9" i="8" l="1"/>
  <c r="AM11" i="8"/>
  <c r="BS11" i="8"/>
  <c r="F14" i="8"/>
  <c r="G15" i="6"/>
  <c r="D8" i="7"/>
  <c r="J10" i="8"/>
  <c r="AN11" i="8"/>
  <c r="BT11" i="8"/>
  <c r="E9" i="8" a="1"/>
  <c r="E16" i="6"/>
  <c r="F9" i="2"/>
  <c r="K11" i="8"/>
  <c r="BW11" i="8"/>
  <c r="F16" i="6"/>
  <c r="F7" i="2"/>
  <c r="D7" i="7"/>
  <c r="N11" i="8"/>
  <c r="F7" i="6"/>
  <c r="C13" i="2"/>
  <c r="AU11" i="8"/>
  <c r="E12" i="2"/>
  <c r="AV11" i="8"/>
  <c r="G7" i="6"/>
  <c r="Q11" i="8"/>
  <c r="CC11" i="8"/>
  <c r="C7" i="2"/>
  <c r="AX11" i="8"/>
  <c r="CD11" i="8"/>
  <c r="F8" i="6"/>
  <c r="S11" i="8"/>
  <c r="CE11" i="8"/>
  <c r="G8" i="6"/>
  <c r="T11" i="8"/>
  <c r="F13" i="6"/>
  <c r="CG11" i="8"/>
  <c r="BB11" i="8"/>
  <c r="CH11" i="8"/>
  <c r="F14" i="6"/>
  <c r="D5" i="7"/>
  <c r="C8" i="2"/>
  <c r="CJ11" i="8"/>
  <c r="C6" i="2"/>
  <c r="CO11" i="8"/>
  <c r="CP11" i="8"/>
  <c r="BK11" i="8"/>
  <c r="CQ11" i="8"/>
  <c r="E13" i="6"/>
  <c r="AF11" i="8"/>
  <c r="BN11" i="8"/>
  <c r="E13" i="2"/>
  <c r="G9" i="2"/>
  <c r="AJ11" i="8"/>
  <c r="G14" i="6"/>
  <c r="BQ11" i="8"/>
  <c r="G7" i="2"/>
  <c r="BD11" i="8"/>
  <c r="Y11" i="8"/>
  <c r="G10" i="6"/>
  <c r="Z11" i="8"/>
  <c r="CL11" i="8"/>
  <c r="AA11" i="8"/>
  <c r="BG11" i="8"/>
  <c r="E11" i="6"/>
  <c r="AB11" i="8"/>
  <c r="F11" i="6"/>
  <c r="D7" i="2"/>
  <c r="AE11" i="8"/>
  <c r="BL11" i="8"/>
  <c r="CR11" i="8"/>
  <c r="C10" i="2"/>
  <c r="AG11" i="8"/>
  <c r="BM11" i="8"/>
  <c r="F9" i="6"/>
  <c r="AI11" i="8"/>
  <c r="BP11" i="8"/>
  <c r="C12" i="2"/>
  <c r="G14" i="8"/>
  <c r="E10" i="2"/>
  <c r="G15" i="8"/>
  <c r="K10" i="8"/>
  <c r="AO11" i="8"/>
  <c r="BU11" i="8"/>
  <c r="D7" i="6"/>
  <c r="G12" i="6"/>
  <c r="C9" i="2"/>
  <c r="J11" i="8"/>
  <c r="AP11" i="8"/>
  <c r="BV11" i="8"/>
  <c r="G11" i="6"/>
  <c r="D11" i="6"/>
  <c r="E7" i="2"/>
  <c r="AQ11" i="8"/>
  <c r="G22" i="2" a="1"/>
  <c r="O11" i="8"/>
  <c r="E12" i="6"/>
  <c r="P11" i="8"/>
  <c r="CB11" i="8"/>
  <c r="F8" i="2"/>
  <c r="E8" i="6"/>
  <c r="E6" i="2"/>
  <c r="AY11" i="8"/>
  <c r="F13" i="2"/>
  <c r="AZ11" i="8"/>
  <c r="D8" i="2"/>
  <c r="U11" i="8"/>
  <c r="G13" i="6"/>
  <c r="X11" i="8"/>
  <c r="G8" i="2"/>
  <c r="CK11" i="8"/>
  <c r="D10" i="2"/>
  <c r="CM11" i="8"/>
  <c r="F11" i="2"/>
  <c r="BH11" i="8"/>
  <c r="AC11" i="8"/>
  <c r="BI11" i="8"/>
  <c r="E7" i="6"/>
  <c r="D9" i="2"/>
  <c r="CS11" i="8"/>
  <c r="E14" i="6"/>
  <c r="AK11" i="8"/>
  <c r="D15" i="6"/>
  <c r="AL11" i="8"/>
  <c r="AD11" i="8"/>
  <c r="E13" i="8"/>
  <c r="BO11" i="8"/>
  <c r="F13" i="8"/>
  <c r="G9" i="6"/>
  <c r="BR11" i="8"/>
  <c r="AH11" i="8"/>
  <c r="D6" i="2"/>
  <c r="L11" i="8"/>
  <c r="AR11" i="8"/>
  <c r="BX11" i="8"/>
  <c r="D12" i="6"/>
  <c r="G13" i="2"/>
  <c r="C11" i="2"/>
  <c r="M11" i="8"/>
  <c r="AS11" i="8"/>
  <c r="BY11" i="8"/>
  <c r="G16" i="6"/>
  <c r="D12" i="2"/>
  <c r="AT11" i="8"/>
  <c r="BZ11" i="8"/>
  <c r="F10" i="2"/>
  <c r="CA11" i="8"/>
  <c r="F6" i="2"/>
  <c r="G11" i="2"/>
  <c r="AW11" i="8"/>
  <c r="G10" i="2"/>
  <c r="R11" i="8"/>
  <c r="F12" i="2"/>
  <c r="F22" i="2" a="1"/>
  <c r="CF11" i="8"/>
  <c r="G6" i="2"/>
  <c r="BA11" i="8"/>
  <c r="E9" i="2"/>
  <c r="V11" i="8"/>
  <c r="D6" i="7"/>
  <c r="W11" i="8"/>
  <c r="BC11" i="8"/>
  <c r="CI11" i="8"/>
  <c r="E10" i="6"/>
  <c r="E11" i="2"/>
  <c r="F10" i="6"/>
  <c r="G12" i="2"/>
  <c r="BE11" i="8"/>
  <c r="D13" i="2"/>
  <c r="BF11" i="8"/>
  <c r="E15" i="6"/>
  <c r="CN11" i="8"/>
  <c r="BJ11" i="8"/>
  <c r="F12" i="6"/>
  <c r="D11" i="2"/>
  <c r="E9" i="6"/>
  <c r="E8" i="2"/>
  <c r="G13" i="8"/>
  <c r="F15" i="6"/>
  <c r="F22" i="2" l="1"/>
  <c r="G22" i="2"/>
  <c r="E9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<sst xmlns="http://schemas.openxmlformats.org/spreadsheetml/2006/main" count="25" uniqueCount="18">
  <si>
    <t>EV Analysis</t>
  </si>
  <si>
    <t>Analysis Name</t>
  </si>
  <si>
    <t>Requirement Name</t>
  </si>
  <si>
    <t>Documentation</t>
  </si>
  <si>
    <t>Return</t>
  </si>
  <si>
    <t>Result</t>
  </si>
  <si>
    <t>Unit</t>
  </si>
  <si>
    <t>Value</t>
  </si>
  <si>
    <t>Attribute</t>
  </si>
  <si>
    <t>Part</t>
  </si>
  <si>
    <t>Voltage</t>
  </si>
  <si>
    <t>Time</t>
  </si>
  <si>
    <t>Battery Voltage</t>
  </si>
  <si>
    <t>Action</t>
  </si>
  <si>
    <t>Input</t>
  </si>
  <si>
    <t>Output</t>
  </si>
  <si>
    <t>X</t>
  </si>
  <si>
    <t>SimBlock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</si>
</sst>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charset val="128"/>
      <scheme val="minor"/>
    </font>
    <font>
      <b/>
      <sz val="15"/>
      <color theme="3"/>
      <name val="Calibri"/>
      <family val="2"/>
      <charset val="128"/>
      <scheme val="minor"/>
    </font>
    <font>
      <sz val="11"/>
      <color rgb="FF3F3F76"/>
      <name val="Calibri"/>
      <family val="2"/>
      <charset val="128"/>
      <scheme val="minor"/>
    </font>
    <font>
      <sz val="14"/>
      <color rgb="FF3F3F76"/>
      <name val="Calibri"/>
      <family val="2"/>
      <charset val="128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Calibri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1" fillId="0" borderId="1" applyNumberFormat="0" applyFill="0" applyAlignment="0" applyProtection="0"/>
    <xf numFmtId="0" fontId="2" fillId="2" borderId="2" applyNumberFormat="0" applyAlignment="0" applyProtection="0"/>
    <xf numFmtId="0" fontId="4" fillId="3" borderId="2" applyNumberFormat="0" applyAlignment="0" applyProtection="0"/>
    <xf numFmtId="0" fontId="5" fillId="4" borderId="6" applyNumberFormat="0" applyFont="0" applyAlignment="0" applyProtection="0"/>
  </cellStyleXfs>
  <cellXfs count="11">
    <xf numFmtId="0" fontId="0" fillId="0" borderId="0" xfId="0"/>
    <xf numFmtId="0" fontId="1" fillId="0" borderId="1" xfId="1"/>
    <xf numFmtId="0" fontId="2" fillId="2" borderId="2" xfId="2"/>
    <xf numFmtId="0" fontId="0" fillId="0" borderId="3" xfId="0" applyBorder="1"/>
    <xf numFmtId="0" fontId="3" fillId="2" borderId="2" xfId="2" applyFont="1" applyAlignment="1">
      <alignment horizontal="center"/>
    </xf>
    <xf numFmtId="0" fontId="0" fillId="0" borderId="3" xfId="0" applyBorder="1" applyAlignment="1">
      <alignment horizontal="right"/>
    </xf>
    <xf numFmtId="0" fontId="0" fillId="0" borderId="0" xfId="0" applyAlignment="1">
      <alignment horizontal="right"/>
    </xf>
    <xf numFmtId="0" fontId="3" fillId="2" borderId="4" xfId="2" applyFont="1" applyBorder="1" applyAlignment="1">
      <alignment horizontal="center"/>
    </xf>
    <xf numFmtId="0" fontId="0" fillId="4" borderId="6" xfId="4" applyFont="1"/>
    <xf numFmtId="0" fontId="4" fillId="3" borderId="4" xfId="3" applyBorder="1" applyAlignment="1">
      <alignment horizontal="center"/>
    </xf>
    <xf numFmtId="0" fontId="4" fillId="3" borderId="5" xfId="3" applyBorder="1" applyAlignment="1">
      <alignment horizontal="center"/>
    </xf>
  </cellXfs>
  <cellStyles count="5">
    <cellStyle name="Calculation" xfId="3" builtinId="22"/>
    <cellStyle name="Heading 1" xfId="1" builtinId="16"/>
    <cellStyle name="Input" xfId="2" builtinId="20"/>
    <cellStyle name="Normal" xfId="0" builtinId="0"/>
    <cellStyle name="Note" xfId="4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Battery</a:t>
            </a:r>
            <a:r>
              <a:rPr lang="en-US" baseline="0"/>
              <a:t> Voltage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Analysis!$G$21</c:f>
              <c:strCache>
                <c:ptCount val="1"/>
                <c:pt idx="0">
                  <c:v>Voltage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Analysis!$F$22:$F$4486</c:f>
              <c:numCache>
                <c:formatCode>General</c:formatCode>
                <c:ptCount val="4465"/>
                <c:pt idx="0">
                  <c:v>0</c:v>
                </c:pt>
              </c:numCache>
            </c:numRef>
          </c:xVal>
          <c:yVal>
            <c:numRef>
              <c:f>Analysis!$G$22:$G$4486</c:f>
              <c:numCache>
                <c:formatCode>General</c:formatCode>
                <c:ptCount val="4465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A2-40DE-A010-16564E6E4D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765103"/>
        <c:axId val="599766351"/>
      </c:scatterChart>
      <c:valAx>
        <c:axId val="5997651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766351"/>
        <c:crosses val="autoZero"/>
        <c:crossBetween val="midCat"/>
      </c:valAx>
      <c:valAx>
        <c:axId val="59976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7651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18</xdr:row>
      <xdr:rowOff>176211</xdr:rowOff>
    </xdr:from>
    <xdr:to>
      <xdr:col>4</xdr:col>
      <xdr:colOff>2876550</xdr:colOff>
      <xdr:row>39</xdr:row>
      <xdr:rowOff>180974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DD46987-2945-4A34-80BE-B829830884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677E6-ACD8-4EF7-A458-7A861071D891}">
  <sheetPr codeName="Sheet1"/>
  <dimension ref="C2:G22"/>
  <sheetViews>
    <sheetView tabSelected="1" zoomScaleNormal="100" workbookViewId="0"/>
  </sheetViews>
  <sheetFormatPr defaultRowHeight="15"/>
  <cols>
    <col min="3" max="3" width="22.85546875" bestFit="1" customWidth="1"/>
    <col min="4" max="4" width="27.42578125" bestFit="1" customWidth="1"/>
    <col min="5" max="5" width="49.28515625" bestFit="1" customWidth="1"/>
    <col min="6" max="6" width="19.42578125" bestFit="1" customWidth="1"/>
    <col min="7" max="7" width="18.42578125" customWidth="1"/>
    <col min="8" max="8" width="14.140625" customWidth="1"/>
    <col min="11" max="11" width="13.7109375" customWidth="1"/>
    <col min="12" max="12" width="13.140625" customWidth="1"/>
  </cols>
  <sheetData>
    <row r="2" spans="3:7" ht="20.25" thickBot="1">
      <c r="C2" s="1" t="s">
        <v>0</v>
      </c>
      <c r="D2" s="1"/>
    </row>
    <row r="3" spans="3:7" ht="15.75" thickTop="1"/>
    <row r="4" spans="3:7">
      <c r="C4" s="2" t="s">
        <v>1</v>
      </c>
      <c r="D4" s="2" t="s">
        <v>2</v>
      </c>
      <c r="E4" s="2" t="s">
        <v>3</v>
      </c>
      <c r="F4" s="2" t="s">
        <v>4</v>
      </c>
      <c r="G4" s="2" t="s">
        <v>5</v>
      </c>
    </row>
    <row r="5" spans="3:7" ht="1.5" customHeight="1"/>
    <row r="6" spans="3:7">
      <c r="C6" s="3">
        <f ca="1">MgQ("*.*.#{Part}.*.#{AnalysisCaseUsage}")</f>
        <v>0</v>
      </c>
      <c r="D6" s="3" t="str">
        <f t="shared" ref="D6:D13" ca="1" si="0">MgQ(".*.&amp;#{^VehicleRequirement}", C6,, "")</f>
        <v/>
      </c>
      <c r="E6" s="3">
        <f t="shared" ref="E6:E13" ca="1" si="1">MgQ(".doc()", D6)</f>
        <v>0</v>
      </c>
      <c r="F6" s="3">
        <f t="shared" ref="F6:F13" ca="1" si="2">MgQ(".%{return}", C6)</f>
        <v>0</v>
      </c>
      <c r="G6" s="3" t="str">
        <f t="shared" ref="G6:G13" ca="1" si="3">MgQ(".prop(data).%{return}", C6,,"")</f>
        <v/>
      </c>
    </row>
    <row r="7" spans="3:7">
      <c r="C7" s="3">
        <f ca="1">MgR(C6, 1)</f>
        <v>0</v>
      </c>
      <c r="D7" s="3" t="str">
        <f t="shared" ca="1" si="0"/>
        <v/>
      </c>
      <c r="E7" s="3">
        <f t="shared" ca="1" si="1"/>
        <v>0</v>
      </c>
      <c r="F7" s="3">
        <f t="shared" ca="1" si="2"/>
        <v>0</v>
      </c>
      <c r="G7" s="3" t="str">
        <f t="shared" ca="1" si="3"/>
        <v/>
      </c>
    </row>
    <row r="8" spans="3:7">
      <c r="C8" s="3">
        <f ca="1">MgR(C6, 2)</f>
        <v>0</v>
      </c>
      <c r="D8" s="3" t="str">
        <f t="shared" ca="1" si="0"/>
        <v/>
      </c>
      <c r="E8" s="3">
        <f t="shared" ca="1" si="1"/>
        <v>0</v>
      </c>
      <c r="F8" s="3">
        <f t="shared" ca="1" si="2"/>
        <v>0</v>
      </c>
      <c r="G8" s="3" t="str">
        <f t="shared" ca="1" si="3"/>
        <v/>
      </c>
    </row>
    <row r="9" spans="3:7">
      <c r="C9" s="3">
        <f ca="1">MgR(C6, 3)</f>
        <v>0</v>
      </c>
      <c r="D9" s="3" t="str">
        <f t="shared" ca="1" si="0"/>
        <v/>
      </c>
      <c r="E9" s="3">
        <f t="shared" ca="1" si="1"/>
        <v>0</v>
      </c>
      <c r="F9" s="3">
        <f t="shared" ca="1" si="2"/>
        <v>0</v>
      </c>
      <c r="G9" s="3" t="str">
        <f t="shared" ca="1" si="3"/>
        <v/>
      </c>
    </row>
    <row r="10" spans="3:7">
      <c r="C10" s="3">
        <f ca="1">MgR(C6, 4)</f>
        <v>0</v>
      </c>
      <c r="D10" s="3" t="str">
        <f t="shared" ca="1" si="0"/>
        <v/>
      </c>
      <c r="E10" s="3">
        <f t="shared" ca="1" si="1"/>
        <v>0</v>
      </c>
      <c r="F10" s="3">
        <f t="shared" ca="1" si="2"/>
        <v>0</v>
      </c>
      <c r="G10" s="3" t="str">
        <f t="shared" ca="1" si="3"/>
        <v/>
      </c>
    </row>
    <row r="11" spans="3:7">
      <c r="C11" s="3">
        <f ca="1">MgR(C6, 5)</f>
        <v>0</v>
      </c>
      <c r="D11" s="3" t="str">
        <f t="shared" ca="1" si="0"/>
        <v/>
      </c>
      <c r="E11" s="3">
        <f t="shared" ca="1" si="1"/>
        <v>0</v>
      </c>
      <c r="F11" s="3">
        <f t="shared" ca="1" si="2"/>
        <v>0</v>
      </c>
      <c r="G11" s="3" t="str">
        <f t="shared" ca="1" si="3"/>
        <v/>
      </c>
    </row>
    <row r="12" spans="3:7">
      <c r="C12" s="3">
        <f ca="1">MgR(C6, 6)</f>
        <v>0</v>
      </c>
      <c r="D12" s="3" t="str">
        <f t="shared" ca="1" si="0"/>
        <v/>
      </c>
      <c r="E12" s="3">
        <f t="shared" ca="1" si="1"/>
        <v>0</v>
      </c>
      <c r="F12" s="3">
        <f t="shared" ca="1" si="2"/>
        <v>0</v>
      </c>
      <c r="G12" s="3" t="str">
        <f t="shared" ca="1" si="3"/>
        <v/>
      </c>
    </row>
    <row r="13" spans="3:7">
      <c r="C13" s="3">
        <f ca="1">MgR(C6, 7)</f>
        <v>0</v>
      </c>
      <c r="D13" s="3" t="str">
        <f t="shared" ca="1" si="0"/>
        <v/>
      </c>
      <c r="E13" s="3">
        <f t="shared" ca="1" si="1"/>
        <v>0</v>
      </c>
      <c r="F13" s="3">
        <f t="shared" ca="1" si="2"/>
        <v>0</v>
      </c>
      <c r="G13" s="3" t="str">
        <f t="shared" ca="1" si="3"/>
        <v/>
      </c>
    </row>
    <row r="14" spans="3:7">
      <c r="C14" s="3"/>
      <c r="D14" s="3"/>
      <c r="E14" s="3"/>
      <c r="F14" s="3"/>
      <c r="G14" s="3"/>
    </row>
    <row r="20" spans="6:7">
      <c r="F20" s="9" t="s">
        <v>12</v>
      </c>
      <c r="G20" s="10"/>
    </row>
    <row r="21" spans="6:7">
      <c r="F21" t="s">
        <v>11</v>
      </c>
      <c r="G21" t="s">
        <v>10</v>
      </c>
    </row>
    <row r="22" spans="6:7">
      <c r="F22" cm="1">
        <f t="array" aca="1" ref="F22" ca="1" xml:space="preserve"> TRANSPOSE(MgQ(".prop(time).voltage",OFFSET($C$6, 3,0)))</f>
        <v>0</v>
      </c>
      <c r="G22" cm="1">
        <f t="array" aca="1" ref="G22" ca="1" xml:space="preserve"> TRANSPOSE(MgQ(".prop(data).voltage",OFFSET($C$6, 3,0)))</f>
        <v>0</v>
      </c>
    </row>
  </sheetData>
  <mergeCells count="1">
    <mergeCell ref="F20:G2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415CB-CDB9-4C89-BD33-A5DB526AF07F}">
  <sheetPr codeName="Sheet2"/>
  <dimension ref="D6:G17"/>
  <sheetViews>
    <sheetView workbookViewId="0">
      <selection activeCell="D7" sqref="D7"/>
    </sheetView>
  </sheetViews>
  <sheetFormatPr defaultRowHeight="15"/>
  <cols>
    <col min="4" max="4" width="15.42578125" bestFit="1" customWidth="1"/>
    <col min="5" max="5" width="18" customWidth="1"/>
    <col min="6" max="6" width="14.42578125" customWidth="1"/>
    <col min="7" max="7" width="8.85546875" customWidth="1"/>
    <col min="8" max="8" width="6.85546875" bestFit="1" customWidth="1"/>
  </cols>
  <sheetData>
    <row r="6" spans="4:7" ht="21.75" customHeight="1">
      <c r="D6" s="4" t="s">
        <v>17</v>
      </c>
      <c r="E6" s="4" t="s">
        <v>8</v>
      </c>
      <c r="F6" s="4" t="s">
        <v>7</v>
      </c>
      <c r="G6" s="4" t="s">
        <v>6</v>
      </c>
    </row>
    <row r="7" spans="4:7">
      <c r="D7" s="3" t="str">
        <f ca="1">MgQ("EV2.baseVehicle.^*.#{ActionUsage}")</f>
        <v>battery</v>
      </c>
      <c r="E7" s="3" t="str">
        <f ca="1">MgQ(".*.#{^AttributeUsage}", D7)</f>
        <v>baseVoltage</v>
      </c>
      <c r="F7" s="3">
        <f t="shared" ref="F7:F16" ca="1" si="0">MgQ(".value()", E7)</f>
        <v>300</v>
      </c>
      <c r="G7" s="3" t="str">
        <f t="shared" ref="G7:G16" ca="1" si="1">MgQ(".unit()", E7,,"")</f>
        <v>V</v>
      </c>
    </row>
    <row r="8" spans="4:7">
      <c r="D8" s="3"/>
      <c r="E8" s="3" t="str">
        <f ca="1">MgR(E7, 1)</f>
        <v>capacity</v>
      </c>
      <c r="F8" s="3">
        <f t="shared" ca="1" si="0"/>
        <v>70</v>
      </c>
      <c r="G8" s="3" t="str">
        <f t="shared" ca="1" si="1"/>
        <v>A⋅h</v>
      </c>
    </row>
    <row r="9" spans="4:7">
      <c r="D9" s="3"/>
      <c r="E9" s="3" t="str">
        <f ca="1">MgR(E7, 2)</f>
        <v>socInit</v>
      </c>
      <c r="F9" s="3">
        <f t="shared" ca="1" si="0"/>
        <v>0.8</v>
      </c>
      <c r="G9" s="3" t="str">
        <f t="shared" ca="1" si="1"/>
        <v/>
      </c>
    </row>
    <row r="10" spans="4:7">
      <c r="D10" s="3"/>
      <c r="E10" s="3" t="str">
        <f ca="1">MgR(E7, 3)</f>
        <v>internalResistance</v>
      </c>
      <c r="F10" s="3">
        <f t="shared" ca="1" si="0"/>
        <v>1.8</v>
      </c>
      <c r="G10" s="3" t="str">
        <f t="shared" ca="1" si="1"/>
        <v>Ω</v>
      </c>
    </row>
    <row r="11" spans="4:7">
      <c r="D11" s="3" t="str">
        <f ca="1">MgR(D7, 1)</f>
        <v>voltage</v>
      </c>
      <c r="E11" s="3" t="str">
        <f ca="1">MgQ(".*.#{^AttributeUsage}", D11)</f>
        <v>num</v>
      </c>
      <c r="F11" s="3">
        <f t="shared" ca="1" si="0"/>
        <v>1</v>
      </c>
      <c r="G11" s="3" t="str">
        <f t="shared" ca="1" si="1"/>
        <v/>
      </c>
    </row>
    <row r="12" spans="4:7">
      <c r="D12" s="3" t="str">
        <f ca="1">MgR(D7, 2)</f>
        <v>vehicleBehavior</v>
      </c>
      <c r="E12" s="3" t="str">
        <f ca="1">MgQ(".*.#{^AttributeUsage}", D12)</f>
        <v>input</v>
      </c>
      <c r="F12" s="3">
        <f t="shared" ca="1" si="0"/>
        <v>0</v>
      </c>
      <c r="G12" s="3" t="str">
        <f t="shared" ca="1" si="1"/>
        <v/>
      </c>
    </row>
    <row r="13" spans="4:7">
      <c r="D13" s="3"/>
      <c r="E13" s="3" t="str">
        <f ca="1">MgR(E12, 1)</f>
        <v>output</v>
      </c>
      <c r="F13" s="3">
        <f t="shared" ca="1" si="0"/>
        <v>0</v>
      </c>
      <c r="G13" s="3" t="str">
        <f t="shared" ca="1" si="1"/>
        <v/>
      </c>
    </row>
    <row r="14" spans="4:7">
      <c r="D14" s="3"/>
      <c r="E14" s="3" t="str">
        <f ca="1">MgR(E12, 2)</f>
        <v>stateSpace</v>
      </c>
      <c r="F14" s="3">
        <f t="shared" ca="1" si="0"/>
        <v>0</v>
      </c>
      <c r="G14" s="3" t="str">
        <f t="shared" ca="1" si="1"/>
        <v/>
      </c>
    </row>
    <row r="15" spans="4:7">
      <c r="D15" s="3" t="str">
        <f ca="1">MgR(D7, 3)</f>
        <v>powerTrain</v>
      </c>
      <c r="E15" s="3" t="str">
        <f ca="1">MgQ(".*.#{^AttributeUsage}", D15)</f>
        <v>input</v>
      </c>
      <c r="F15" s="3">
        <f t="shared" ca="1" si="0"/>
        <v>0</v>
      </c>
      <c r="G15" s="3" t="str">
        <f t="shared" ca="1" si="1"/>
        <v/>
      </c>
    </row>
    <row r="16" spans="4:7">
      <c r="D16" s="3"/>
      <c r="E16" s="3" t="str">
        <f ca="1">MgR(E15, 1)</f>
        <v>output</v>
      </c>
      <c r="F16" s="3">
        <f t="shared" ca="1" si="0"/>
        <v>0</v>
      </c>
      <c r="G16" s="3" t="str">
        <f t="shared" ca="1" si="1"/>
        <v/>
      </c>
    </row>
    <row r="17" spans="4:7">
      <c r="D17" s="3"/>
      <c r="E17" s="3"/>
      <c r="F17" s="3"/>
      <c r="G17" s="3"/>
    </row>
  </sheetData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197AF-8B90-46BC-B2AD-00986110A9EF}">
  <sheetPr codeName="Sheet3"/>
  <dimension ref="B5:E8"/>
  <sheetViews>
    <sheetView workbookViewId="0">
      <selection activeCell="J31" sqref="J31:K31"/>
    </sheetView>
  </sheetViews>
  <sheetFormatPr defaultRowHeight="15"/>
  <cols>
    <col min="2" max="2" width="13.7109375" customWidth="1"/>
    <col min="3" max="3" width="1" customWidth="1"/>
    <col min="4" max="4" width="17.7109375" style="6" customWidth="1"/>
  </cols>
  <sheetData>
    <row r="5" spans="2:5" ht="18.75">
      <c r="B5" s="4" t="s">
        <v>9</v>
      </c>
      <c r="D5" s="5">
        <f ca="1">MgQ("EV.baseVehicle.*.#{PartUsage}")</f>
        <v>0</v>
      </c>
      <c r="E5" s="3"/>
    </row>
    <row r="6" spans="2:5" ht="18.75">
      <c r="B6" s="4" t="s">
        <v>8</v>
      </c>
      <c r="D6" s="5">
        <f ca="1">MgQ(".*.#{^AttributeUsage}", D5)</f>
        <v>0</v>
      </c>
      <c r="E6" s="3"/>
    </row>
    <row r="7" spans="2:5" ht="18.75">
      <c r="B7" s="4" t="s">
        <v>7</v>
      </c>
      <c r="D7" s="5">
        <f ca="1">MgQ(".value()", D6)</f>
        <v>0</v>
      </c>
      <c r="E7" s="3"/>
    </row>
    <row r="8" spans="2:5" ht="18.75">
      <c r="B8" s="4" t="s">
        <v>6</v>
      </c>
      <c r="D8" s="5" t="str">
        <f ca="1">MgQ(".unit()", D6,,"")</f>
        <v/>
      </c>
      <c r="E8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C8E25-71AB-4752-80D3-DF0B08773E4C}">
  <sheetPr codeName="Sheet4"/>
  <dimension ref="E9:CS33"/>
  <sheetViews>
    <sheetView workbookViewId="0">
      <selection activeCell="J9" sqref="J9"/>
    </sheetView>
  </sheetViews>
  <sheetFormatPr defaultRowHeight="15"/>
  <cols>
    <col min="5" max="5" width="16" bestFit="1" customWidth="1"/>
    <col min="6" max="6" width="15.42578125" bestFit="1" customWidth="1"/>
    <col min="7" max="7" width="18.140625" bestFit="1" customWidth="1"/>
    <col min="8" max="8" width="1.140625" customWidth="1"/>
    <col min="9" max="9" width="14" customWidth="1"/>
    <col min="10" max="10" width="15.42578125" bestFit="1" customWidth="1"/>
  </cols>
  <sheetData>
    <row r="9" spans="5:97" ht="18.75">
      <c r="E9" s="8" t="str" cm="1">
        <f t="array" aca="1" ref="E9" ca="1">MgMx(MgXV_SSRInputs, MgXH_SSROutput, "CompactEV.^**.#{FlowConnectionUsage}", ".%{in}", ".%{out}")</f>
        <v/>
      </c>
      <c r="I9" s="7" t="s">
        <v>9</v>
      </c>
      <c r="J9" s="3">
        <f ca="1">MgQ("CompactEV.*.#{Vehicle}")</f>
        <v>0</v>
      </c>
      <c r="K9" s="3"/>
    </row>
    <row r="10" spans="5:97" ht="18.75">
      <c r="I10" s="7" t="s">
        <v>13</v>
      </c>
      <c r="J10" s="3">
        <f ca="1">MgQ(".^*.#{^SimSubsystem}", J9)</f>
        <v>0</v>
      </c>
      <c r="K10" s="3">
        <f ca="1">MgR(J10, 1)</f>
        <v>0</v>
      </c>
    </row>
    <row r="11" spans="5:97" ht="18.75">
      <c r="E11" s="4" t="s">
        <v>9</v>
      </c>
      <c r="F11" s="4" t="s">
        <v>13</v>
      </c>
      <c r="G11" s="4" t="s">
        <v>15</v>
      </c>
      <c r="I11" s="7" t="s">
        <v>14</v>
      </c>
      <c r="J11" s="3">
        <f ca="1">MgQ(".input.^*.#{^ScalarQuantityValue}", J10)</f>
        <v>0</v>
      </c>
      <c r="K11" s="3">
        <f ca="1">MgQ(".input.^*.#{^ScalarQuantityValue}", K10)</f>
        <v>0</v>
      </c>
      <c r="L11">
        <f ca="1">MgR(K11, 1)</f>
        <v>0</v>
      </c>
      <c r="M11">
        <f ca="1">MgR(K11, 1)</f>
        <v>0</v>
      </c>
      <c r="N11">
        <f ca="1">MgR(K11, 1)</f>
        <v>0</v>
      </c>
      <c r="O11">
        <f ca="1">MgR(K11, 1)</f>
        <v>0</v>
      </c>
      <c r="P11">
        <f ca="1">MgR(K11, 1)</f>
        <v>0</v>
      </c>
      <c r="Q11">
        <f ca="1">MgR(K11, 1)</f>
        <v>0</v>
      </c>
      <c r="R11">
        <f ca="1">MgR(K11, 1)</f>
        <v>0</v>
      </c>
      <c r="S11">
        <f ca="1">MgR(K11, 1)</f>
        <v>0</v>
      </c>
      <c r="T11">
        <f ca="1">MgR(K11, 1)</f>
        <v>0</v>
      </c>
      <c r="U11">
        <f ca="1">MgR(K11, 1)</f>
        <v>0</v>
      </c>
      <c r="V11">
        <f ca="1">MgR(K11, 1)</f>
        <v>0</v>
      </c>
      <c r="W11">
        <f ca="1">MgR(K11, 1)</f>
        <v>0</v>
      </c>
      <c r="X11">
        <f ca="1">MgR(K11, 1)</f>
        <v>0</v>
      </c>
      <c r="Y11">
        <f ca="1">MgR(K11, 1)</f>
        <v>0</v>
      </c>
      <c r="Z11">
        <f ca="1">MgR(K11, 1)</f>
        <v>0</v>
      </c>
      <c r="AA11">
        <f ca="1">MgR(K11, 1)</f>
        <v>0</v>
      </c>
      <c r="AB11">
        <f ca="1">MgR(K11, 1)</f>
        <v>0</v>
      </c>
      <c r="AC11">
        <f ca="1">MgR(K11, 1)</f>
        <v>0</v>
      </c>
      <c r="AD11">
        <f ca="1">MgR(K11, 1)</f>
        <v>0</v>
      </c>
      <c r="AE11">
        <f ca="1">MgR(K11, 1)</f>
        <v>0</v>
      </c>
      <c r="AF11">
        <f ca="1">MgR(K11, 1)</f>
        <v>0</v>
      </c>
      <c r="AG11">
        <f ca="1">MgR(K11, 1)</f>
        <v>0</v>
      </c>
      <c r="AH11">
        <f ca="1">MgR(K11, 1)</f>
        <v>0</v>
      </c>
      <c r="AI11">
        <f ca="1">MgR(K11, 1)</f>
        <v>0</v>
      </c>
      <c r="AJ11">
        <f ca="1">MgR(K11, 1)</f>
        <v>0</v>
      </c>
      <c r="AK11">
        <f ca="1">MgR(K11, 1)</f>
        <v>0</v>
      </c>
      <c r="AL11">
        <f ca="1">MgR(K11, 1)</f>
        <v>0</v>
      </c>
      <c r="AM11">
        <f ca="1">MgR(K11, 1)</f>
        <v>0</v>
      </c>
      <c r="AN11">
        <f ca="1">MgR(K11, 1)</f>
        <v>0</v>
      </c>
      <c r="AO11">
        <f ca="1">MgR(K11, 1)</f>
        <v>0</v>
      </c>
      <c r="AP11">
        <f ca="1">MgR(K11, 1)</f>
        <v>0</v>
      </c>
      <c r="AQ11">
        <f ca="1">MgR(K11, 1)</f>
        <v>0</v>
      </c>
      <c r="AR11">
        <f ca="1">MgR(K11, 1)</f>
        <v>0</v>
      </c>
      <c r="AS11">
        <f ca="1">MgR(K11, 1)</f>
        <v>0</v>
      </c>
      <c r="AT11">
        <f ca="1">MgR(K11, 1)</f>
        <v>0</v>
      </c>
      <c r="AU11">
        <f ca="1">MgR(K11, 1)</f>
        <v>0</v>
      </c>
      <c r="AV11">
        <f ca="1">MgR(K11, 1)</f>
        <v>0</v>
      </c>
      <c r="AW11">
        <f ca="1">MgR(K11, 1)</f>
        <v>0</v>
      </c>
      <c r="AX11">
        <f ca="1">MgR(K11, 1)</f>
        <v>0</v>
      </c>
      <c r="AY11">
        <f ca="1">MgR(K11, 1)</f>
        <v>0</v>
      </c>
      <c r="AZ11">
        <f ca="1">MgR(K11, 1)</f>
        <v>0</v>
      </c>
      <c r="BA11">
        <f ca="1">MgR(K11, 1)</f>
        <v>0</v>
      </c>
      <c r="BB11">
        <f ca="1">MgR(K11, 1)</f>
        <v>0</v>
      </c>
      <c r="BC11">
        <f ca="1">MgR(K11, 1)</f>
        <v>0</v>
      </c>
      <c r="BD11">
        <f ca="1">MgR(K11, 1)</f>
        <v>0</v>
      </c>
      <c r="BE11">
        <f ca="1">MgR(K11, 1)</f>
        <v>0</v>
      </c>
      <c r="BF11">
        <f ca="1">MgR(K11, 1)</f>
        <v>0</v>
      </c>
      <c r="BG11">
        <f ca="1">MgR(K11, 1)</f>
        <v>0</v>
      </c>
      <c r="BH11">
        <f ca="1">MgR(K11, 1)</f>
        <v>0</v>
      </c>
      <c r="BI11">
        <f ca="1">MgR(K11, 1)</f>
        <v>0</v>
      </c>
      <c r="BJ11">
        <f ca="1">MgR(K11, 1)</f>
        <v>0</v>
      </c>
      <c r="BK11">
        <f ca="1">MgR(K11, 1)</f>
        <v>0</v>
      </c>
      <c r="BL11">
        <f ca="1">MgR(K11, 1)</f>
        <v>0</v>
      </c>
      <c r="BM11">
        <f ca="1">MgR(K11, 1)</f>
        <v>0</v>
      </c>
      <c r="BN11">
        <f ca="1">MgR(K11, 1)</f>
        <v>0</v>
      </c>
      <c r="BO11">
        <f ca="1">MgR(K11, 1)</f>
        <v>0</v>
      </c>
      <c r="BP11">
        <f ca="1">MgR(K11, 1)</f>
        <v>0</v>
      </c>
      <c r="BQ11">
        <f ca="1">MgR(K11, 1)</f>
        <v>0</v>
      </c>
      <c r="BR11">
        <f ca="1">MgR(K11, 1)</f>
        <v>0</v>
      </c>
      <c r="BS11">
        <f ca="1">MgR(K11, 1)</f>
        <v>0</v>
      </c>
      <c r="BT11">
        <f ca="1">MgR(K11, 1)</f>
        <v>0</v>
      </c>
      <c r="BU11">
        <f ca="1">MgR(K11, 1)</f>
        <v>0</v>
      </c>
      <c r="BV11">
        <f ca="1">MgR(K11, 1)</f>
        <v>0</v>
      </c>
      <c r="BW11">
        <f ca="1">MgR(K11, 1)</f>
        <v>0</v>
      </c>
      <c r="BX11">
        <f ca="1">MgR(K11, 1)</f>
        <v>0</v>
      </c>
      <c r="BY11">
        <f ca="1">MgR(K11, 1)</f>
        <v>0</v>
      </c>
      <c r="BZ11">
        <f ca="1">MgR(K11, 1)</f>
        <v>0</v>
      </c>
      <c r="CA11">
        <f ca="1">MgR(K11, 1)</f>
        <v>0</v>
      </c>
      <c r="CB11">
        <f ca="1">MgR(K11, 1)</f>
        <v>0</v>
      </c>
      <c r="CC11">
        <f ca="1">MgR(K11, 1)</f>
        <v>0</v>
      </c>
      <c r="CD11">
        <f ca="1">MgR(K11, 1)</f>
        <v>0</v>
      </c>
      <c r="CE11">
        <f ca="1">MgR(K11, 1)</f>
        <v>0</v>
      </c>
      <c r="CF11">
        <f ca="1">MgR(K11, 1)</f>
        <v>0</v>
      </c>
      <c r="CG11">
        <f ca="1">MgR(K11, 1)</f>
        <v>0</v>
      </c>
      <c r="CH11">
        <f ca="1">MgR(K11, 1)</f>
        <v>0</v>
      </c>
      <c r="CI11">
        <f ca="1">MgR(K11, 1)</f>
        <v>0</v>
      </c>
      <c r="CJ11">
        <f ca="1">MgR(K11, 1)</f>
        <v>0</v>
      </c>
      <c r="CK11">
        <f ca="1">MgR(K11, 1)</f>
        <v>0</v>
      </c>
      <c r="CL11">
        <f ca="1">MgR(K11, 1)</f>
        <v>0</v>
      </c>
      <c r="CM11">
        <f ca="1">MgR(K11, 1)</f>
        <v>0</v>
      </c>
      <c r="CN11">
        <f ca="1">MgR(K11, 1)</f>
        <v>0</v>
      </c>
      <c r="CO11">
        <f ca="1">MgR(K11, 1)</f>
        <v>0</v>
      </c>
      <c r="CP11">
        <f ca="1">MgR(K11, 1)</f>
        <v>0</v>
      </c>
      <c r="CQ11">
        <f ca="1">MgR(K11, 1)</f>
        <v>0</v>
      </c>
      <c r="CR11">
        <f ca="1">MgR(K11, 1)</f>
        <v>0</v>
      </c>
      <c r="CS11">
        <f ca="1">MgR(K11, 1)</f>
        <v>0</v>
      </c>
    </row>
    <row r="12" spans="5:97" ht="3.75" customHeight="1"/>
    <row r="13" spans="5:97">
      <c r="E13" s="3">
        <f ca="1">MgQ("CompactEV.*.#{Vehicle}")</f>
        <v>0</v>
      </c>
      <c r="F13" s="3">
        <f ca="1">MgQ(".^*.#{^SimSubsystem}", E13)</f>
        <v>0</v>
      </c>
      <c r="G13" s="3">
        <f ca="1">MgQ(".output.^*.#{^ScalarQuantityValue}", F13)</f>
        <v>0</v>
      </c>
      <c r="J13" s="8"/>
      <c r="K13" s="8" t="s">
        <v>16</v>
      </c>
      <c r="L13" s="8"/>
      <c r="M13" s="8"/>
      <c r="N13" s="8"/>
      <c r="O13" s="8"/>
      <c r="P13" s="8"/>
      <c r="Q13" s="8"/>
      <c r="R13" s="8"/>
      <c r="S13" s="8"/>
    </row>
    <row r="14" spans="5:97">
      <c r="E14" s="3"/>
      <c r="F14" s="3">
        <f ca="1">MgR(F13, 1)</f>
        <v>0</v>
      </c>
      <c r="G14" s="3">
        <f ca="1">MgQ(".output.^*.#{^ScalarQuantityValue}", F14)</f>
        <v>0</v>
      </c>
      <c r="J14" s="8" t="s">
        <v>16</v>
      </c>
      <c r="K14" s="8"/>
      <c r="L14" s="8"/>
      <c r="M14" s="8"/>
      <c r="N14" s="8"/>
      <c r="O14" s="8"/>
      <c r="P14" s="8"/>
      <c r="Q14" s="8"/>
      <c r="R14" s="8"/>
      <c r="S14" s="8"/>
    </row>
    <row r="15" spans="5:97">
      <c r="E15" s="3"/>
      <c r="F15" s="3"/>
      <c r="G15" s="3">
        <f ca="1">MgR(G14, 1)</f>
        <v>0</v>
      </c>
      <c r="J15" s="8"/>
      <c r="K15" s="8"/>
      <c r="L15" s="8"/>
      <c r="M15" s="8"/>
      <c r="N15" s="8"/>
      <c r="O15" s="8"/>
      <c r="P15" s="8"/>
      <c r="Q15" s="8"/>
      <c r="R15" s="8"/>
      <c r="S15" s="8"/>
    </row>
    <row r="16" spans="5:97">
      <c r="E16" s="3"/>
      <c r="F16" s="3"/>
      <c r="G16" s="3"/>
      <c r="J16" s="8"/>
      <c r="K16" s="8"/>
      <c r="L16" s="8"/>
      <c r="M16" s="8"/>
      <c r="N16" s="8"/>
      <c r="O16" s="8"/>
      <c r="P16" s="8"/>
      <c r="Q16" s="8"/>
      <c r="R16" s="8"/>
      <c r="S16" s="8"/>
    </row>
    <row r="17" spans="10:19">
      <c r="J17" s="8"/>
      <c r="K17" s="8"/>
      <c r="L17" s="8"/>
      <c r="M17" s="8"/>
      <c r="N17" s="8"/>
      <c r="O17" s="8"/>
      <c r="P17" s="8"/>
      <c r="Q17" s="8"/>
      <c r="R17" s="8"/>
      <c r="S17" s="8"/>
    </row>
    <row r="18" spans="10:19">
      <c r="J18" s="8"/>
      <c r="K18" s="8"/>
      <c r="L18" s="8"/>
      <c r="M18" s="8"/>
      <c r="N18" s="8"/>
      <c r="O18" s="8"/>
      <c r="P18" s="8"/>
      <c r="Q18" s="8"/>
      <c r="R18" s="8"/>
      <c r="S18" s="8"/>
    </row>
    <row r="19" spans="10:19">
      <c r="J19" s="8"/>
      <c r="K19" s="8"/>
      <c r="L19" s="8"/>
      <c r="M19" s="8"/>
      <c r="N19" s="8"/>
      <c r="O19" s="8"/>
      <c r="P19" s="8"/>
      <c r="Q19" s="8"/>
      <c r="R19" s="8"/>
      <c r="S19" s="8"/>
    </row>
    <row r="20" spans="10:19">
      <c r="J20" s="8"/>
      <c r="K20" s="8"/>
      <c r="L20" s="8"/>
      <c r="M20" s="8"/>
      <c r="N20" s="8"/>
      <c r="O20" s="8"/>
      <c r="P20" s="8"/>
      <c r="Q20" s="8"/>
      <c r="R20" s="8"/>
      <c r="S20" s="8"/>
    </row>
    <row r="21" spans="10:19">
      <c r="J21" s="8"/>
      <c r="K21" s="8"/>
      <c r="L21" s="8"/>
      <c r="M21" s="8"/>
      <c r="N21" s="8"/>
      <c r="O21" s="8"/>
      <c r="P21" s="8"/>
      <c r="Q21" s="8"/>
      <c r="R21" s="8"/>
      <c r="S21" s="8"/>
    </row>
    <row r="22" spans="10:19">
      <c r="J22" s="8"/>
      <c r="K22" s="8"/>
      <c r="L22" s="8"/>
      <c r="M22" s="8"/>
      <c r="N22" s="8"/>
      <c r="O22" s="8"/>
      <c r="P22" s="8"/>
      <c r="Q22" s="8"/>
      <c r="R22" s="8"/>
      <c r="S22" s="8"/>
    </row>
    <row r="23" spans="10:19">
      <c r="J23" s="8"/>
      <c r="K23" s="8"/>
      <c r="L23" s="8"/>
      <c r="M23" s="8"/>
      <c r="N23" s="8"/>
      <c r="O23" s="8"/>
      <c r="P23" s="8"/>
      <c r="Q23" s="8"/>
      <c r="R23" s="8"/>
      <c r="S23" s="8"/>
    </row>
    <row r="24" spans="10:19">
      <c r="J24" s="8"/>
      <c r="K24" s="8"/>
      <c r="L24" s="8"/>
      <c r="M24" s="8"/>
      <c r="N24" s="8"/>
      <c r="O24" s="8"/>
      <c r="P24" s="8"/>
      <c r="Q24" s="8"/>
      <c r="R24" s="8"/>
      <c r="S24" s="8"/>
    </row>
    <row r="32" spans="10:19" ht="21" customHeight="1"/>
    <row r="33" ht="6.75" customHeight="1"/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Analysis</vt:lpstr>
      <vt:lpstr>SimBlocks</vt:lpstr>
      <vt:lpstr>HParts</vt:lpstr>
      <vt:lpstr>Sheet1</vt:lpstr>
      <vt:lpstr>MgXH_Compact_SSRInputs</vt:lpstr>
      <vt:lpstr>MgXH_HParts</vt:lpstr>
      <vt:lpstr>MgXH_SSROutput</vt:lpstr>
      <vt:lpstr>MgXV_Compact_SSROutputs</vt:lpstr>
      <vt:lpstr>MgXV_EVAnalysis</vt:lpstr>
      <vt:lpstr>MgXV_EVParts</vt:lpstr>
      <vt:lpstr>MgXV_SSRInputs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himi</dc:creator>
  <cp:lastModifiedBy>Hisashi Miyashita</cp:lastModifiedBy>
  <dcterms:created xsi:type="dcterms:W3CDTF">2021-10-08T15:09:39Z</dcterms:created>
  <dcterms:modified xsi:type="dcterms:W3CDTF">2024-03-10T04:27:46Z</dcterms:modified>
</cp:coreProperties>
</file>